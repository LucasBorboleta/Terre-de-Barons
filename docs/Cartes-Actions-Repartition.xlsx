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B4421B3C-404A-4126-B89B-AA674F338A99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Cards-fr" sheetId="2" r:id="rId1"/>
    <sheet name="Cards-e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E12" i="3"/>
  <c r="H3" i="2"/>
  <c r="E12" i="2"/>
  <c r="E11" i="3"/>
  <c r="F11" i="3" s="1"/>
  <c r="E9" i="3"/>
  <c r="G6" i="3"/>
  <c r="E6" i="3"/>
  <c r="F6" i="3" s="1"/>
  <c r="E3" i="3"/>
  <c r="E9" i="2"/>
  <c r="E11" i="2"/>
  <c r="F11" i="2" s="1"/>
  <c r="E3" i="2"/>
  <c r="G6" i="2"/>
  <c r="E6" i="2"/>
  <c r="F6" i="2" s="1"/>
</calcChain>
</file>

<file path=xl/sharedStrings.xml><?xml version="1.0" encoding="utf-8"?>
<sst xmlns="http://schemas.openxmlformats.org/spreadsheetml/2006/main" count="68" uniqueCount="36">
  <si>
    <t>Nombre</t>
  </si>
  <si>
    <t>Disperser Troupes</t>
  </si>
  <si>
    <t>Concentrer Troupes</t>
  </si>
  <si>
    <t>Chevauchée Lointaine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</si>
  <si>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</si>
  <si>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</si>
  <si>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</si>
  <si>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</si>
  <si>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</si>
  <si>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</si>
  <si>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</si>
  <si>
    <t>Déplacer Seigneur 3</t>
  </si>
  <si>
    <t>Déplacer Seigneur 2</t>
  </si>
  <si>
    <t>Déplacer Seigneur 1</t>
  </si>
  <si>
    <t>Recruter Troupes 3</t>
  </si>
  <si>
    <t>Recruter Troupes 2</t>
  </si>
  <si>
    <t>Recruter Troupes 1</t>
  </si>
  <si>
    <t>Action Card</t>
  </si>
  <si>
    <t>Credits</t>
  </si>
  <si>
    <t>Quantity</t>
  </si>
  <si>
    <t>Groups</t>
  </si>
  <si>
    <t>Move Lord 3</t>
  </si>
  <si>
    <t>Move Lord 2</t>
  </si>
  <si>
    <t>Move Lord 1</t>
  </si>
  <si>
    <t>Recruit Troops 3</t>
  </si>
  <si>
    <t>Recruit Troops 2</t>
  </si>
  <si>
    <t>Recruit Troops 1</t>
  </si>
  <si>
    <t>Concentrate Troops</t>
  </si>
  <si>
    <t>Disperse Troops</t>
  </si>
  <si>
    <t>Build Keep</t>
  </si>
  <si>
    <t>Long Ride</t>
  </si>
  <si>
    <t>Recruit Knight</t>
  </si>
  <si>
    <t>Exile Knight</t>
  </si>
  <si>
    <t>Court Intrigue</t>
  </si>
  <si>
    <t>Espion</t>
  </si>
  <si>
    <t>Spy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</si>
</sst>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7E6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0" borderId="6" xfId="0" applyBorder="1"/>
    <xf numFmtId="0" fontId="0" fillId="0" borderId="15" xfId="0" applyBorder="1"/>
    <xf numFmtId="0" fontId="0" fillId="0" borderId="4" xfId="0" applyBorder="1"/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0" fillId="0" borderId="5" xfId="0" applyBorder="1"/>
    <xf numFmtId="0" fontId="2" fillId="7" borderId="1" xfId="0" applyFont="1" applyFill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K16"/>
  <sheetViews>
    <sheetView zoomScale="190" zoomScaleNormal="190" workbookViewId="0">
      <selection activeCell="N8" sqref="N8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  <col min="10" max="10" width="20" customWidth="1"/>
    <col min="11" max="11" width="8" customWidth="1"/>
  </cols>
  <sheetData>
    <row r="2" spans="2:11" x14ac:dyDescent="0.25">
      <c r="B2" s="3" t="s">
        <v>8</v>
      </c>
      <c r="C2" s="3" t="s">
        <v>9</v>
      </c>
      <c r="D2" s="3" t="s">
        <v>0</v>
      </c>
      <c r="E2" s="29" t="s">
        <v>5</v>
      </c>
      <c r="F2" s="30"/>
      <c r="G2" s="31"/>
      <c r="H2" s="32"/>
      <c r="J2" s="3" t="s">
        <v>8</v>
      </c>
      <c r="K2" s="3" t="s">
        <v>0</v>
      </c>
    </row>
    <row r="3" spans="2:11" x14ac:dyDescent="0.25">
      <c r="B3" s="1" t="s">
        <v>11</v>
      </c>
      <c r="C3" s="1">
        <v>3</v>
      </c>
      <c r="D3" s="1">
        <v>4</v>
      </c>
      <c r="E3" s="36">
        <f>SUM(D3:D5)</f>
        <v>15</v>
      </c>
      <c r="F3" s="37"/>
      <c r="G3" s="38"/>
      <c r="H3" s="18">
        <f>SUM(D3:D16)</f>
        <v>43</v>
      </c>
      <c r="J3" s="1" t="s">
        <v>11</v>
      </c>
      <c r="K3" s="1">
        <v>4</v>
      </c>
    </row>
    <row r="4" spans="2:11" x14ac:dyDescent="0.25">
      <c r="B4" s="1" t="s">
        <v>12</v>
      </c>
      <c r="C4" s="1">
        <v>2</v>
      </c>
      <c r="D4" s="1">
        <v>5</v>
      </c>
      <c r="E4" s="39"/>
      <c r="F4" s="40"/>
      <c r="G4" s="41"/>
      <c r="H4" s="19"/>
      <c r="J4" s="1" t="s">
        <v>12</v>
      </c>
      <c r="K4" s="1">
        <v>5</v>
      </c>
    </row>
    <row r="5" spans="2:11" x14ac:dyDescent="0.25">
      <c r="B5" s="1" t="s">
        <v>13</v>
      </c>
      <c r="C5" s="1">
        <v>1</v>
      </c>
      <c r="D5" s="1">
        <v>6</v>
      </c>
      <c r="E5" s="42"/>
      <c r="F5" s="43"/>
      <c r="G5" s="44"/>
      <c r="H5" s="19"/>
      <c r="J5" s="1" t="s">
        <v>13</v>
      </c>
      <c r="K5" s="1">
        <v>6</v>
      </c>
    </row>
    <row r="6" spans="2:11" x14ac:dyDescent="0.25">
      <c r="B6" s="2" t="s">
        <v>14</v>
      </c>
      <c r="C6" s="2">
        <v>3</v>
      </c>
      <c r="D6" s="2">
        <v>2</v>
      </c>
      <c r="E6" s="33">
        <f>SUM(D6:D8)</f>
        <v>9</v>
      </c>
      <c r="F6" s="33">
        <f>E6+E9</f>
        <v>17</v>
      </c>
      <c r="G6" s="24">
        <f>SUM(D6:D11)</f>
        <v>23</v>
      </c>
      <c r="H6" s="19"/>
      <c r="J6" s="2" t="s">
        <v>14</v>
      </c>
      <c r="K6" s="2">
        <v>2</v>
      </c>
    </row>
    <row r="7" spans="2:11" x14ac:dyDescent="0.25">
      <c r="B7" s="2" t="s">
        <v>15</v>
      </c>
      <c r="C7" s="2">
        <v>2</v>
      </c>
      <c r="D7" s="2">
        <v>3</v>
      </c>
      <c r="E7" s="34"/>
      <c r="F7" s="46"/>
      <c r="G7" s="24"/>
      <c r="H7" s="19"/>
      <c r="J7" s="2" t="s">
        <v>15</v>
      </c>
      <c r="K7" s="2">
        <v>3</v>
      </c>
    </row>
    <row r="8" spans="2:11" x14ac:dyDescent="0.25">
      <c r="B8" s="2" t="s">
        <v>16</v>
      </c>
      <c r="C8" s="2">
        <v>1</v>
      </c>
      <c r="D8" s="2">
        <v>4</v>
      </c>
      <c r="E8" s="35"/>
      <c r="F8" s="46"/>
      <c r="G8" s="24"/>
      <c r="H8" s="19"/>
      <c r="J8" s="2" t="s">
        <v>16</v>
      </c>
      <c r="K8" s="2">
        <v>4</v>
      </c>
    </row>
    <row r="9" spans="2:11" x14ac:dyDescent="0.25">
      <c r="B9" s="2" t="s">
        <v>2</v>
      </c>
      <c r="C9" s="2">
        <v>1</v>
      </c>
      <c r="D9" s="2">
        <v>3</v>
      </c>
      <c r="E9" s="33">
        <f>SUM(D9:D10)</f>
        <v>8</v>
      </c>
      <c r="F9" s="46"/>
      <c r="G9" s="24"/>
      <c r="H9" s="19"/>
      <c r="J9" s="2" t="s">
        <v>2</v>
      </c>
      <c r="K9" s="2">
        <v>3</v>
      </c>
    </row>
    <row r="10" spans="2:11" x14ac:dyDescent="0.25">
      <c r="B10" s="2" t="s">
        <v>1</v>
      </c>
      <c r="C10" s="2">
        <v>1</v>
      </c>
      <c r="D10" s="2">
        <v>5</v>
      </c>
      <c r="E10" s="45"/>
      <c r="F10" s="45"/>
      <c r="G10" s="24"/>
      <c r="H10" s="19"/>
      <c r="J10" s="2" t="s">
        <v>1</v>
      </c>
      <c r="K10" s="2">
        <v>5</v>
      </c>
    </row>
    <row r="11" spans="2:11" x14ac:dyDescent="0.25">
      <c r="B11" s="2" t="s">
        <v>6</v>
      </c>
      <c r="C11" s="2">
        <v>3</v>
      </c>
      <c r="D11" s="2">
        <v>6</v>
      </c>
      <c r="E11" s="7">
        <f>D11</f>
        <v>6</v>
      </c>
      <c r="F11" s="7">
        <f>E11</f>
        <v>6</v>
      </c>
      <c r="G11" s="33"/>
      <c r="H11" s="19"/>
      <c r="J11" s="2" t="s">
        <v>6</v>
      </c>
      <c r="K11" s="2">
        <v>6</v>
      </c>
    </row>
    <row r="12" spans="2:11" x14ac:dyDescent="0.25">
      <c r="B12" s="1" t="s">
        <v>3</v>
      </c>
      <c r="C12" s="1">
        <v>3</v>
      </c>
      <c r="D12" s="8">
        <v>1</v>
      </c>
      <c r="E12" s="9">
        <f>SUM(D12:D16)</f>
        <v>5</v>
      </c>
      <c r="F12" s="10"/>
      <c r="G12" s="11"/>
      <c r="H12" s="19"/>
      <c r="J12" s="1" t="s">
        <v>3</v>
      </c>
      <c r="K12" s="1">
        <v>1</v>
      </c>
    </row>
    <row r="13" spans="2:11" x14ac:dyDescent="0.25">
      <c r="B13" s="1" t="s">
        <v>4</v>
      </c>
      <c r="C13" s="1">
        <v>3</v>
      </c>
      <c r="D13" s="8">
        <v>1</v>
      </c>
      <c r="E13" s="12"/>
      <c r="F13" s="13"/>
      <c r="G13" s="14"/>
      <c r="H13" s="19"/>
      <c r="J13" s="1" t="s">
        <v>4</v>
      </c>
      <c r="K13" s="1">
        <v>1</v>
      </c>
    </row>
    <row r="14" spans="2:11" x14ac:dyDescent="0.25">
      <c r="B14" s="1" t="s">
        <v>10</v>
      </c>
      <c r="C14" s="1">
        <v>3</v>
      </c>
      <c r="D14" s="8">
        <v>1</v>
      </c>
      <c r="E14" s="12"/>
      <c r="F14" s="13"/>
      <c r="G14" s="14"/>
      <c r="H14" s="19"/>
      <c r="J14" s="1" t="s">
        <v>10</v>
      </c>
      <c r="K14" s="1">
        <v>1</v>
      </c>
    </row>
    <row r="15" spans="2:11" x14ac:dyDescent="0.25">
      <c r="B15" s="5" t="s">
        <v>7</v>
      </c>
      <c r="C15" s="5">
        <v>3</v>
      </c>
      <c r="D15" s="8">
        <v>1</v>
      </c>
      <c r="E15" s="12"/>
      <c r="F15" s="13"/>
      <c r="G15" s="14"/>
      <c r="H15" s="19"/>
      <c r="J15" s="5" t="s">
        <v>7</v>
      </c>
      <c r="K15" s="1">
        <v>1</v>
      </c>
    </row>
    <row r="16" spans="2:11" x14ac:dyDescent="0.25">
      <c r="B16" s="5" t="s">
        <v>34</v>
      </c>
      <c r="C16" s="5">
        <v>2</v>
      </c>
      <c r="D16" s="8">
        <v>1</v>
      </c>
      <c r="E16" s="26"/>
      <c r="F16" s="27"/>
      <c r="G16" s="28"/>
      <c r="H16" s="20"/>
      <c r="J16" s="5" t="s">
        <v>34</v>
      </c>
      <c r="K16" s="1">
        <v>1</v>
      </c>
    </row>
  </sheetData>
  <mergeCells count="8">
    <mergeCell ref="E12:G16"/>
    <mergeCell ref="H3:H16"/>
    <mergeCell ref="E2:H2"/>
    <mergeCell ref="E6:E8"/>
    <mergeCell ref="G6:G11"/>
    <mergeCell ref="E3:G5"/>
    <mergeCell ref="E9:E10"/>
    <mergeCell ref="F6:F10"/>
  </mergeCells>
  <conditionalFormatting sqref="D3:D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33">
      <colorScale>
        <cfvo type="min"/>
        <cfvo type="max"/>
        <color rgb="FF63BE7B"/>
        <color rgb="FFFFEF9C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2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2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7">
      <colorScale>
        <cfvo type="min"/>
        <cfvo type="max"/>
        <color rgb="FF63BE7B"/>
        <color rgb="FFFFEF9C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11">
      <colorScale>
        <cfvo type="min"/>
        <cfvo type="max"/>
        <color rgb="FF63BE7B"/>
        <color rgb="FFFFEF9C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4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3 E9 E6 E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FDED2-945D-4571-B170-2CC455B62199}">
  <dimension ref="B2:K16"/>
  <sheetViews>
    <sheetView tabSelected="1" zoomScale="190" zoomScaleNormal="190" workbookViewId="0">
      <selection activeCell="I7" sqref="I7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7.7109375" customWidth="1"/>
    <col min="4" max="4" width="8.42578125" customWidth="1"/>
    <col min="5" max="8" width="4.7109375" customWidth="1"/>
    <col min="10" max="10" width="18.5703125" customWidth="1"/>
    <col min="11" max="11" width="8.7109375" customWidth="1"/>
  </cols>
  <sheetData>
    <row r="2" spans="2:11" x14ac:dyDescent="0.25">
      <c r="B2" s="6" t="s">
        <v>17</v>
      </c>
      <c r="C2" s="6" t="s">
        <v>18</v>
      </c>
      <c r="D2" s="6" t="s">
        <v>19</v>
      </c>
      <c r="E2" s="21" t="s">
        <v>20</v>
      </c>
      <c r="F2" s="22"/>
      <c r="G2" s="22"/>
      <c r="H2" s="22"/>
      <c r="J2" s="6" t="s">
        <v>17</v>
      </c>
      <c r="K2" s="6" t="s">
        <v>19</v>
      </c>
    </row>
    <row r="3" spans="2:11" x14ac:dyDescent="0.25">
      <c r="B3" s="1" t="s">
        <v>21</v>
      </c>
      <c r="C3" s="1">
        <v>3</v>
      </c>
      <c r="D3" s="1">
        <v>4</v>
      </c>
      <c r="E3" s="23">
        <f>SUM(D3:D5)</f>
        <v>15</v>
      </c>
      <c r="F3" s="23"/>
      <c r="G3" s="23"/>
      <c r="H3" s="18">
        <f>SUM(D3:D16)</f>
        <v>43</v>
      </c>
      <c r="J3" s="1" t="s">
        <v>21</v>
      </c>
      <c r="K3" s="1">
        <v>4</v>
      </c>
    </row>
    <row r="4" spans="2:11" x14ac:dyDescent="0.25">
      <c r="B4" s="1" t="s">
        <v>22</v>
      </c>
      <c r="C4" s="1">
        <v>2</v>
      </c>
      <c r="D4" s="1">
        <v>5</v>
      </c>
      <c r="E4" s="23"/>
      <c r="F4" s="23"/>
      <c r="G4" s="23"/>
      <c r="H4" s="19"/>
      <c r="J4" s="1" t="s">
        <v>22</v>
      </c>
      <c r="K4" s="1">
        <v>5</v>
      </c>
    </row>
    <row r="5" spans="2:11" x14ac:dyDescent="0.25">
      <c r="B5" s="1" t="s">
        <v>23</v>
      </c>
      <c r="C5" s="1">
        <v>1</v>
      </c>
      <c r="D5" s="1">
        <v>6</v>
      </c>
      <c r="E5" s="23"/>
      <c r="F5" s="23"/>
      <c r="G5" s="23"/>
      <c r="H5" s="19"/>
      <c r="J5" s="1" t="s">
        <v>23</v>
      </c>
      <c r="K5" s="1">
        <v>6</v>
      </c>
    </row>
    <row r="6" spans="2:11" x14ac:dyDescent="0.25">
      <c r="B6" s="2" t="s">
        <v>24</v>
      </c>
      <c r="C6" s="2">
        <v>3</v>
      </c>
      <c r="D6" s="2">
        <v>2</v>
      </c>
      <c r="E6" s="24">
        <f>SUM(D6:D8)</f>
        <v>9</v>
      </c>
      <c r="F6" s="24">
        <f>E6+E9</f>
        <v>17</v>
      </c>
      <c r="G6" s="24">
        <f>SUM(D6:D11)</f>
        <v>23</v>
      </c>
      <c r="H6" s="19"/>
      <c r="J6" s="2" t="s">
        <v>24</v>
      </c>
      <c r="K6" s="2">
        <v>2</v>
      </c>
    </row>
    <row r="7" spans="2:11" x14ac:dyDescent="0.25">
      <c r="B7" s="2" t="s">
        <v>25</v>
      </c>
      <c r="C7" s="2">
        <v>2</v>
      </c>
      <c r="D7" s="2">
        <v>3</v>
      </c>
      <c r="E7" s="24"/>
      <c r="F7" s="25"/>
      <c r="G7" s="24"/>
      <c r="H7" s="19"/>
      <c r="J7" s="2" t="s">
        <v>25</v>
      </c>
      <c r="K7" s="2">
        <v>3</v>
      </c>
    </row>
    <row r="8" spans="2:11" x14ac:dyDescent="0.25">
      <c r="B8" s="2" t="s">
        <v>26</v>
      </c>
      <c r="C8" s="2">
        <v>1</v>
      </c>
      <c r="D8" s="2">
        <v>4</v>
      </c>
      <c r="E8" s="24"/>
      <c r="F8" s="25"/>
      <c r="G8" s="24"/>
      <c r="H8" s="19"/>
      <c r="J8" s="2" t="s">
        <v>26</v>
      </c>
      <c r="K8" s="2">
        <v>4</v>
      </c>
    </row>
    <row r="9" spans="2:11" x14ac:dyDescent="0.25">
      <c r="B9" s="2" t="s">
        <v>27</v>
      </c>
      <c r="C9" s="2">
        <v>1</v>
      </c>
      <c r="D9" s="2">
        <v>3</v>
      </c>
      <c r="E9" s="24">
        <f>SUM(D9:D10)</f>
        <v>8</v>
      </c>
      <c r="F9" s="25"/>
      <c r="G9" s="24"/>
      <c r="H9" s="19"/>
      <c r="J9" s="2" t="s">
        <v>27</v>
      </c>
      <c r="K9" s="2">
        <v>3</v>
      </c>
    </row>
    <row r="10" spans="2:11" x14ac:dyDescent="0.25">
      <c r="B10" s="2" t="s">
        <v>28</v>
      </c>
      <c r="C10" s="2">
        <v>1</v>
      </c>
      <c r="D10" s="2">
        <v>5</v>
      </c>
      <c r="E10" s="25"/>
      <c r="F10" s="25"/>
      <c r="G10" s="24"/>
      <c r="H10" s="19"/>
      <c r="J10" s="2" t="s">
        <v>28</v>
      </c>
      <c r="K10" s="2">
        <v>5</v>
      </c>
    </row>
    <row r="11" spans="2:11" x14ac:dyDescent="0.25">
      <c r="B11" s="2" t="s">
        <v>29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24"/>
      <c r="H11" s="19"/>
      <c r="J11" s="2" t="s">
        <v>29</v>
      </c>
      <c r="K11" s="2">
        <v>6</v>
      </c>
    </row>
    <row r="12" spans="2:11" x14ac:dyDescent="0.25">
      <c r="B12" s="1" t="s">
        <v>30</v>
      </c>
      <c r="C12" s="1">
        <v>3</v>
      </c>
      <c r="D12" s="1">
        <v>1</v>
      </c>
      <c r="E12" s="9">
        <f>SUM(D12:D16)</f>
        <v>5</v>
      </c>
      <c r="F12" s="10"/>
      <c r="G12" s="11"/>
      <c r="H12" s="19"/>
      <c r="J12" s="1" t="s">
        <v>30</v>
      </c>
      <c r="K12" s="1">
        <v>1</v>
      </c>
    </row>
    <row r="13" spans="2:11" x14ac:dyDescent="0.25">
      <c r="B13" s="1" t="s">
        <v>31</v>
      </c>
      <c r="C13" s="1">
        <v>3</v>
      </c>
      <c r="D13" s="1">
        <v>1</v>
      </c>
      <c r="E13" s="12"/>
      <c r="F13" s="13"/>
      <c r="G13" s="14"/>
      <c r="H13" s="19"/>
      <c r="J13" s="1" t="s">
        <v>31</v>
      </c>
      <c r="K13" s="1">
        <v>1</v>
      </c>
    </row>
    <row r="14" spans="2:11" x14ac:dyDescent="0.25">
      <c r="B14" s="1" t="s">
        <v>32</v>
      </c>
      <c r="C14" s="1">
        <v>3</v>
      </c>
      <c r="D14" s="1">
        <v>1</v>
      </c>
      <c r="E14" s="12"/>
      <c r="F14" s="13"/>
      <c r="G14" s="14"/>
      <c r="H14" s="19"/>
      <c r="J14" s="1" t="s">
        <v>32</v>
      </c>
      <c r="K14" s="1">
        <v>1</v>
      </c>
    </row>
    <row r="15" spans="2:11" x14ac:dyDescent="0.25">
      <c r="B15" s="5" t="s">
        <v>33</v>
      </c>
      <c r="C15" s="5">
        <v>3</v>
      </c>
      <c r="D15" s="1">
        <v>1</v>
      </c>
      <c r="E15" s="12"/>
      <c r="F15" s="13"/>
      <c r="G15" s="14"/>
      <c r="H15" s="19"/>
      <c r="J15" s="5" t="s">
        <v>33</v>
      </c>
      <c r="K15" s="1">
        <v>1</v>
      </c>
    </row>
    <row r="16" spans="2:11" x14ac:dyDescent="0.25">
      <c r="B16" s="5" t="s">
        <v>35</v>
      </c>
      <c r="C16" s="5">
        <v>2</v>
      </c>
      <c r="D16" s="1">
        <v>1</v>
      </c>
      <c r="E16" s="15"/>
      <c r="F16" s="16"/>
      <c r="G16" s="17"/>
      <c r="H16" s="20"/>
      <c r="J16" s="5" t="s">
        <v>35</v>
      </c>
      <c r="K16" s="1">
        <v>1</v>
      </c>
    </row>
  </sheetData>
  <mergeCells count="8">
    <mergeCell ref="E12:G16"/>
    <mergeCell ref="H3:H16"/>
    <mergeCell ref="E2:H2"/>
    <mergeCell ref="E3:G5"/>
    <mergeCell ref="E6:E8"/>
    <mergeCell ref="F6:F10"/>
    <mergeCell ref="G6:G11"/>
    <mergeCell ref="E9:E10"/>
  </mergeCells>
  <conditionalFormatting sqref="D3:D5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23">
      <colorScale>
        <cfvo type="min"/>
        <cfvo type="max"/>
        <color rgb="FF63BE7B"/>
        <color rgb="FFFFEF9C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14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19">
      <colorScale>
        <cfvo type="min"/>
        <cfvo type="max"/>
        <color rgb="FF63BE7B"/>
        <color rgb="FFFFEF9C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6">
      <colorScale>
        <cfvo type="min"/>
        <cfvo type="max"/>
        <color rgb="FF63BE7B"/>
        <color rgb="FFFFEF9C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9">
      <colorScale>
        <cfvo type="min"/>
        <cfvo type="max"/>
        <color rgb="FF63BE7B"/>
        <color rgb="FFFFEF9C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E3 E6 E9 G6 E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Cards-fr</vt:lpstr>
      <vt:lpstr>Cards-en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2026-05-30T17:25:37Z</dcterms:modified>
</cp:coreProperties>
</file>